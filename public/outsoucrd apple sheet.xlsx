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ry Iphone ev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top style="thin">
        <color rgb="000F172A"/>
      </top>
      <bottom style="double">
        <color rgb="000F172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164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right"/>
    </xf>
    <xf numFmtId="165" fontId="2" fillId="0" borderId="1" applyAlignment="1" pivotButton="0" quotePrefix="0" xfId="0">
      <alignment horizontal="right"/>
    </xf>
    <xf numFmtId="10" fontId="2" fillId="0" borderId="1" applyAlignment="1" pivotButton="0" quotePrefix="0" xfId="0">
      <alignment horizontal="right"/>
    </xf>
    <xf numFmtId="0" fontId="3" fillId="3" borderId="2" pivotButton="0" quotePrefix="0" xfId="0"/>
    <xf numFmtId="0" fontId="0" fillId="3" borderId="2" applyAlignment="1" pivotButton="0" quotePrefix="0" xfId="0">
      <alignment horizontal="center"/>
    </xf>
    <xf numFmtId="165" fontId="3" fillId="3" borderId="2" pivotButton="0" quotePrefix="0" xfId="0"/>
    <xf numFmtId="0" fontId="0" fillId="3" borderId="2" pivotButton="0" quotePrefix="0" xfId="0"/>
    <xf numFmtId="165" fontId="0" fillId="3" borderId="2" pivotButton="0" quotePrefix="0" xfId="0"/>
    <xf numFmtId="10" fontId="3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4" customWidth="1" min="2" max="2"/>
    <col width="14" customWidth="1" min="3" max="3"/>
    <col width="22" customWidth="1" min="4" max="4"/>
    <col width="20" customWidth="1" min="5" max="5"/>
    <col width="18" customWidth="1" min="6" max="6"/>
    <col width="16" customWidth="1" min="7" max="7"/>
    <col width="14" customWidth="1" min="8" max="8"/>
  </cols>
  <sheetData>
    <row r="1" ht="26" customHeight="1">
      <c r="A1" s="1" t="inlineStr">
        <is>
          <t>Model</t>
        </is>
      </c>
      <c r="B1" s="2" t="inlineStr">
        <is>
          <t>Release Date</t>
        </is>
      </c>
      <c r="C1" s="2" t="inlineStr">
        <is>
          <t>Model Price</t>
        </is>
      </c>
      <c r="D1" s="2" t="inlineStr">
        <is>
          <t>Historical Stock Price</t>
        </is>
      </c>
      <c r="E1" s="2" t="inlineStr">
        <is>
          <t>Current Stock Price</t>
        </is>
      </c>
      <c r="F1" s="2" t="inlineStr">
        <is>
          <t>Invested Instead?</t>
        </is>
      </c>
      <c r="G1" s="2" t="inlineStr">
        <is>
          <t>Profit</t>
        </is>
      </c>
      <c r="H1" s="2" t="inlineStr">
        <is>
          <t>ROI</t>
        </is>
      </c>
    </row>
    <row r="2" ht="20" customHeight="1">
      <c r="A2" s="3" t="inlineStr">
        <is>
          <t>iPhone</t>
        </is>
      </c>
      <c r="B2" s="4" t="n">
        <v>39262</v>
      </c>
      <c r="C2" s="5" t="n">
        <v>499</v>
      </c>
      <c r="D2" s="5">
        <f>IFERROR(__xludf.DUMMYFUNCTION("INDEX(GOOGLEFINANCE(""AAPL"", ""price"", B2), 2, 2)"),4.36)</f>
        <v/>
      </c>
      <c r="E2" s="5">
        <f>IFERROR(__xludf.DUMMYFUNCTION("INDEX(GOOGLEFINANCE(""AAPL"", ""price""))"),339.75)</f>
        <v/>
      </c>
      <c r="F2" s="6">
        <f>C2/D2*E2</f>
        <v/>
      </c>
      <c r="G2" s="5">
        <f>F2-C2</f>
        <v/>
      </c>
      <c r="H2" s="7">
        <f>(F2/C2)-1</f>
        <v/>
      </c>
    </row>
    <row r="3" ht="20" customHeight="1">
      <c r="A3" s="3" t="inlineStr">
        <is>
          <t>iPhone 3GS</t>
        </is>
      </c>
      <c r="B3" s="4" t="n">
        <v>39983</v>
      </c>
      <c r="C3" s="5" t="n">
        <v>499</v>
      </c>
      <c r="D3" s="5">
        <f>IFERROR(__xludf.DUMMYFUNCTION("INDEX(GOOGLEFINANCE(""AAPL"", ""price"", B3), 2, 2)"),4.98)</f>
        <v/>
      </c>
      <c r="E3" s="5">
        <f>IFERROR(__xludf.DUMMYFUNCTION("INDEX(GOOGLEFINANCE(""AAPL"", ""price""))"),339.75)</f>
        <v/>
      </c>
      <c r="F3" s="6">
        <f>C3/D3*E3</f>
        <v/>
      </c>
      <c r="G3" s="5">
        <f>F3-C3</f>
        <v/>
      </c>
      <c r="H3" s="7">
        <f>(F3/C3)-1</f>
        <v/>
      </c>
    </row>
    <row r="4" ht="20" customHeight="1">
      <c r="A4" s="3" t="inlineStr">
        <is>
          <t>iPhone 4</t>
        </is>
      </c>
      <c r="B4" s="4" t="n">
        <v>40353</v>
      </c>
      <c r="C4" s="5" t="n">
        <v>549</v>
      </c>
      <c r="D4" s="5">
        <f>IFERROR(__xludf.DUMMYFUNCTION("INDEX(GOOGLEFINANCE(""AAPL"", ""price"", B4), 2, 2)"),9.61)</f>
        <v/>
      </c>
      <c r="E4" s="5">
        <f>IFERROR(__xludf.DUMMYFUNCTION("INDEX(GOOGLEFINANCE(""AAPL"", ""price""))"),339.75)</f>
        <v/>
      </c>
      <c r="F4" s="6">
        <f>C4/D4*E4</f>
        <v/>
      </c>
      <c r="G4" s="5">
        <f>F4-C4</f>
        <v/>
      </c>
      <c r="H4" s="7">
        <f>(F4/C4)-1</f>
        <v/>
      </c>
    </row>
    <row r="5" ht="20" customHeight="1">
      <c r="A5" s="3" t="inlineStr">
        <is>
          <t>iPhone 4S</t>
        </is>
      </c>
      <c r="B5" s="4" t="n">
        <v>40830</v>
      </c>
      <c r="C5" s="5" t="n">
        <v>649</v>
      </c>
      <c r="D5" s="5">
        <f>IFERROR(__xludf.DUMMYFUNCTION("INDEX(GOOGLEFINANCE(""AAPL"", ""price"", B5), 2, 2)"),15.07)</f>
        <v/>
      </c>
      <c r="E5" s="5">
        <f>IFERROR(__xludf.DUMMYFUNCTION("INDEX(GOOGLEFINANCE(""AAPL"", ""price""))"),339.75)</f>
        <v/>
      </c>
      <c r="F5" s="6">
        <f>C5/D5*E5</f>
        <v/>
      </c>
      <c r="G5" s="5">
        <f>F5-C5</f>
        <v/>
      </c>
      <c r="H5" s="7">
        <f>(F5/C5)-1</f>
        <v/>
      </c>
    </row>
    <row r="6" ht="20" customHeight="1">
      <c r="A6" s="3" t="inlineStr">
        <is>
          <t>iPhone 5</t>
        </is>
      </c>
      <c r="B6" s="4" t="n">
        <v>41173</v>
      </c>
      <c r="C6" s="5" t="n">
        <v>649</v>
      </c>
      <c r="D6" s="5">
        <f>IFERROR(__xludf.DUMMYFUNCTION("INDEX(GOOGLEFINANCE(""AAPL"", ""price"", B6), 2, 2)"),25.0)</f>
        <v/>
      </c>
      <c r="E6" s="5">
        <f>IFERROR(__xludf.DUMMYFUNCTION("INDEX(GOOGLEFINANCE(""AAPL"", ""price""))"),339.75)</f>
        <v/>
      </c>
      <c r="F6" s="6">
        <f>C6/D6*E6</f>
        <v/>
      </c>
      <c r="G6" s="5">
        <f>F6-C6</f>
        <v/>
      </c>
      <c r="H6" s="7">
        <f>(F6/C6)-1</f>
        <v/>
      </c>
    </row>
    <row r="7" ht="20" customHeight="1">
      <c r="A7" s="3" t="inlineStr">
        <is>
          <t>iPhone 5c</t>
        </is>
      </c>
      <c r="B7" s="4" t="n">
        <v>41537</v>
      </c>
      <c r="C7" s="5" t="n">
        <v>549</v>
      </c>
      <c r="D7" s="5">
        <f>IFERROR(__xludf.DUMMYFUNCTION("INDEX(GOOGLEFINANCE(""AAPL"", ""price"", B7), 2, 2)"),16.69)</f>
        <v/>
      </c>
      <c r="E7" s="5">
        <f>IFERROR(__xludf.DUMMYFUNCTION("INDEX(GOOGLEFINANCE(""AAPL"", ""price""))"),339.75)</f>
        <v/>
      </c>
      <c r="F7" s="6">
        <f>C7/D7*E7</f>
        <v/>
      </c>
      <c r="G7" s="5">
        <f>F7-C7</f>
        <v/>
      </c>
      <c r="H7" s="7">
        <f>(F7/C7)-1</f>
        <v/>
      </c>
    </row>
    <row r="8" ht="20" customHeight="1">
      <c r="A8" s="3" t="inlineStr">
        <is>
          <t>iPhone 5s</t>
        </is>
      </c>
      <c r="B8" s="4" t="n">
        <v>41537</v>
      </c>
      <c r="C8" s="5" t="n">
        <v>649</v>
      </c>
      <c r="D8" s="5">
        <f>IFERROR(__xludf.DUMMYFUNCTION("INDEX(GOOGLEFINANCE(""AAPL"", ""price"", B8), 2, 2)"),16.69)</f>
        <v/>
      </c>
      <c r="E8" s="5">
        <f>IFERROR(__xludf.DUMMYFUNCTION("INDEX(GOOGLEFINANCE(""AAPL"", ""price""))"),339.75)</f>
        <v/>
      </c>
      <c r="F8" s="6">
        <f>C8/D8*E8</f>
        <v/>
      </c>
      <c r="G8" s="5">
        <f>F8-C8</f>
        <v/>
      </c>
      <c r="H8" s="7">
        <f>(F8/C8)-1</f>
        <v/>
      </c>
    </row>
    <row r="9" ht="20" customHeight="1">
      <c r="A9" s="3" t="inlineStr">
        <is>
          <t>iPhone 6</t>
        </is>
      </c>
      <c r="B9" s="4" t="n">
        <v>41901</v>
      </c>
      <c r="C9" s="5" t="n">
        <v>649</v>
      </c>
      <c r="D9" s="5">
        <f>IFERROR(__xludf.DUMMYFUNCTION("INDEX(GOOGLEFINANCE(""AAPL"", ""price"", B9), 2, 2)"),25.24)</f>
        <v/>
      </c>
      <c r="E9" s="5">
        <f>IFERROR(__xludf.DUMMYFUNCTION("INDEX(GOOGLEFINANCE(""AAPL"", ""price""))"),339.75)</f>
        <v/>
      </c>
      <c r="F9" s="6">
        <f>C9/D9*E9</f>
        <v/>
      </c>
      <c r="G9" s="5">
        <f>F9-C9</f>
        <v/>
      </c>
      <c r="H9" s="7">
        <f>(F9/C9)-1</f>
        <v/>
      </c>
    </row>
    <row r="10" ht="20" customHeight="1">
      <c r="A10" s="3" t="inlineStr">
        <is>
          <t>iPhone 6 Plus</t>
        </is>
      </c>
      <c r="B10" s="4" t="n">
        <v>41901</v>
      </c>
      <c r="C10" s="5" t="n">
        <v>749</v>
      </c>
      <c r="D10" s="5">
        <f>IFERROR(__xludf.DUMMYFUNCTION("INDEX(GOOGLEFINANCE(""AAPL"", ""price"", B10), 2, 2)"),25.24)</f>
        <v/>
      </c>
      <c r="E10" s="5">
        <f>IFERROR(__xludf.DUMMYFUNCTION("INDEX(GOOGLEFINANCE(""AAPL"", ""price""))"),339.75)</f>
        <v/>
      </c>
      <c r="F10" s="6">
        <f>C10/D10*E10</f>
        <v/>
      </c>
      <c r="G10" s="5">
        <f>F10-C10</f>
        <v/>
      </c>
      <c r="H10" s="7">
        <f>(F10/C10)-1</f>
        <v/>
      </c>
    </row>
    <row r="11" ht="20" customHeight="1">
      <c r="A11" s="3" t="inlineStr">
        <is>
          <t>iPhone 6s</t>
        </is>
      </c>
      <c r="B11" s="4" t="n">
        <v>42272</v>
      </c>
      <c r="C11" s="5" t="n">
        <v>649</v>
      </c>
      <c r="D11" s="5">
        <f>IFERROR(__xludf.DUMMYFUNCTION("INDEX(GOOGLEFINANCE(""AAPL"", ""price"", B11), 2, 2)"),28.68)</f>
        <v/>
      </c>
      <c r="E11" s="5">
        <f>IFERROR(__xludf.DUMMYFUNCTION("INDEX(GOOGLEFINANCE(""AAPL"", ""price""))"),339.75)</f>
        <v/>
      </c>
      <c r="F11" s="6">
        <f>C11/D11*E11</f>
        <v/>
      </c>
      <c r="G11" s="5">
        <f>F11-C11</f>
        <v/>
      </c>
      <c r="H11" s="7">
        <f>(F11/C11)-1</f>
        <v/>
      </c>
    </row>
    <row r="12" ht="20" customHeight="1">
      <c r="A12" s="3" t="inlineStr">
        <is>
          <t>iPhone 6s Plus</t>
        </is>
      </c>
      <c r="B12" s="4" t="n">
        <v>42272</v>
      </c>
      <c r="C12" s="5" t="n">
        <v>749</v>
      </c>
      <c r="D12" s="5">
        <f>IFERROR(__xludf.DUMMYFUNCTION("INDEX(GOOGLEFINANCE(""AAPL"", ""price"", B12), 2, 2)"),28.68)</f>
        <v/>
      </c>
      <c r="E12" s="5">
        <f>IFERROR(__xludf.DUMMYFUNCTION("INDEX(GOOGLEFINANCE(""AAPL"", ""price""))"),339.75)</f>
        <v/>
      </c>
      <c r="F12" s="6">
        <f>C12/D12*E12</f>
        <v/>
      </c>
      <c r="G12" s="5">
        <f>F12-C12</f>
        <v/>
      </c>
      <c r="H12" s="7">
        <f>(F12/C12)-1</f>
        <v/>
      </c>
    </row>
    <row r="13" ht="20" customHeight="1">
      <c r="A13" s="3" t="inlineStr">
        <is>
          <t>iPhone SE</t>
        </is>
      </c>
      <c r="B13" s="4" t="n">
        <v>42460</v>
      </c>
      <c r="C13" s="5" t="n">
        <v>399</v>
      </c>
      <c r="D13" s="5">
        <f>IFERROR(__xludf.DUMMYFUNCTION("INDEX(GOOGLEFINANCE(""AAPL"", ""price"", B13), 2, 2)"),27.25)</f>
        <v/>
      </c>
      <c r="E13" s="5">
        <f>IFERROR(__xludf.DUMMYFUNCTION("INDEX(GOOGLEFINANCE(""AAPL"", ""price""))"),339.75)</f>
        <v/>
      </c>
      <c r="F13" s="6">
        <f>C13/D13*E13</f>
        <v/>
      </c>
      <c r="G13" s="5">
        <f>F13-C13</f>
        <v/>
      </c>
      <c r="H13" s="7">
        <f>(F13/C13)-1</f>
        <v/>
      </c>
    </row>
    <row r="14" ht="20" customHeight="1">
      <c r="A14" s="3" t="inlineStr">
        <is>
          <t>iPhone 7</t>
        </is>
      </c>
      <c r="B14" s="4" t="n">
        <v>42629</v>
      </c>
      <c r="C14" s="5" t="n">
        <v>649</v>
      </c>
      <c r="D14" s="5">
        <f>IFERROR(__xludf.DUMMYFUNCTION("INDEX(GOOGLEFINANCE(""AAPL"", ""price"", B14), 2, 2)"),28.73)</f>
        <v/>
      </c>
      <c r="E14" s="5">
        <f>IFERROR(__xludf.DUMMYFUNCTION("INDEX(GOOGLEFINANCE(""AAPL"", ""price""))"),339.75)</f>
        <v/>
      </c>
      <c r="F14" s="6">
        <f>C14/D14*E14</f>
        <v/>
      </c>
      <c r="G14" s="5">
        <f>F14-C14</f>
        <v/>
      </c>
      <c r="H14" s="7">
        <f>(F14/C14)-1</f>
        <v/>
      </c>
    </row>
    <row r="15" ht="20" customHeight="1">
      <c r="A15" s="3" t="inlineStr">
        <is>
          <t>iPhone 7 Plus</t>
        </is>
      </c>
      <c r="B15" s="4" t="n">
        <v>42629</v>
      </c>
      <c r="C15" s="5" t="n">
        <v>769</v>
      </c>
      <c r="D15" s="5">
        <f>IFERROR(__xludf.DUMMYFUNCTION("INDEX(GOOGLEFINANCE(""AAPL"", ""price"", B15), 2, 2)"),28.73)</f>
        <v/>
      </c>
      <c r="E15" s="5">
        <f>IFERROR(__xludf.DUMMYFUNCTION("INDEX(GOOGLEFINANCE(""AAPL"", ""price""))"),339.75)</f>
        <v/>
      </c>
      <c r="F15" s="6">
        <f>C15/D15*E15</f>
        <v/>
      </c>
      <c r="G15" s="5">
        <f>F15-C15</f>
        <v/>
      </c>
      <c r="H15" s="7">
        <f>(F15/C15)-1</f>
        <v/>
      </c>
    </row>
    <row r="16" ht="20" customHeight="1">
      <c r="A16" s="3" t="inlineStr">
        <is>
          <t>iPhone 8</t>
        </is>
      </c>
      <c r="B16" s="4" t="n">
        <v>43000</v>
      </c>
      <c r="C16" s="5" t="n">
        <v>699</v>
      </c>
      <c r="D16" s="5">
        <f>IFERROR(__xludf.DUMMYFUNCTION("INDEX(GOOGLEFINANCE(""AAPL"", ""price"", B16), 2, 2)"),37.97)</f>
        <v/>
      </c>
      <c r="E16" s="5">
        <f>IFERROR(__xludf.DUMMYFUNCTION("INDEX(GOOGLEFINANCE(""AAPL"", ""price""))"),339.75)</f>
        <v/>
      </c>
      <c r="F16" s="6">
        <f>C16/D16*E16</f>
        <v/>
      </c>
      <c r="G16" s="5">
        <f>F16-C16</f>
        <v/>
      </c>
      <c r="H16" s="7">
        <f>(F16/C16)-1</f>
        <v/>
      </c>
    </row>
    <row r="17" ht="20" customHeight="1">
      <c r="A17" s="3" t="inlineStr">
        <is>
          <t>iPhone 8 Plus</t>
        </is>
      </c>
      <c r="B17" s="4" t="n">
        <v>43000</v>
      </c>
      <c r="C17" s="5" t="n">
        <v>799</v>
      </c>
      <c r="D17" s="5">
        <f>IFERROR(__xludf.DUMMYFUNCTION("INDEX(GOOGLEFINANCE(""AAPL"", ""price"", B17), 2, 2)"),37.97)</f>
        <v/>
      </c>
      <c r="E17" s="5">
        <f>IFERROR(__xludf.DUMMYFUNCTION("INDEX(GOOGLEFINANCE(""AAPL"", ""price""))"),339.75)</f>
        <v/>
      </c>
      <c r="F17" s="6">
        <f>C17/D17*E17</f>
        <v/>
      </c>
      <c r="G17" s="5">
        <f>F17-C17</f>
        <v/>
      </c>
      <c r="H17" s="7">
        <f>(F17/C17)-1</f>
        <v/>
      </c>
    </row>
    <row r="18" ht="20" customHeight="1">
      <c r="A18" s="3" t="inlineStr">
        <is>
          <t>iPhone X</t>
        </is>
      </c>
      <c r="B18" s="4" t="n">
        <v>43042</v>
      </c>
      <c r="C18" s="5" t="n">
        <v>999</v>
      </c>
      <c r="D18" s="5">
        <f>IFERROR(__xludf.DUMMYFUNCTION("INDEX(GOOGLEFINANCE(""AAPL"", ""price"", B18), 2, 2)"),43.13)</f>
        <v/>
      </c>
      <c r="E18" s="5">
        <f>IFERROR(__xludf.DUMMYFUNCTION("INDEX(GOOGLEFINANCE(""AAPL"", ""price""))"),339.75)</f>
        <v/>
      </c>
      <c r="F18" s="6">
        <f>C18/D18*E18</f>
        <v/>
      </c>
      <c r="G18" s="5">
        <f>F18-C18</f>
        <v/>
      </c>
      <c r="H18" s="7">
        <f>(F18/C18)-1</f>
        <v/>
      </c>
    </row>
    <row r="19" ht="20" customHeight="1">
      <c r="A19" s="3" t="inlineStr">
        <is>
          <t>iPhone XS</t>
        </is>
      </c>
      <c r="B19" s="4" t="n">
        <v>43364</v>
      </c>
      <c r="C19" s="5" t="n">
        <v>999</v>
      </c>
      <c r="D19" s="5">
        <f>IFERROR(__xludf.DUMMYFUNCTION("INDEX(GOOGLEFINANCE(""AAPL"", ""price"", B19), 2, 2)"),54.42)</f>
        <v/>
      </c>
      <c r="E19" s="5">
        <f>IFERROR(__xludf.DUMMYFUNCTION("INDEX(GOOGLEFINANCE(""AAPL"", ""price""))"),339.75)</f>
        <v/>
      </c>
      <c r="F19" s="6">
        <f>C19/D19*E19</f>
        <v/>
      </c>
      <c r="G19" s="5">
        <f>F19-C19</f>
        <v/>
      </c>
      <c r="H19" s="7">
        <f>(F19/C19)-1</f>
        <v/>
      </c>
    </row>
    <row r="20" ht="20" customHeight="1">
      <c r="A20" s="3" t="inlineStr">
        <is>
          <t>iPhone XS Max</t>
        </is>
      </c>
      <c r="B20" s="4" t="n">
        <v>43364</v>
      </c>
      <c r="C20" s="5" t="n">
        <v>1099</v>
      </c>
      <c r="D20" s="5">
        <f>IFERROR(__xludf.DUMMYFUNCTION("INDEX(GOOGLEFINANCE(""AAPL"", ""price"", B20), 2, 2)"),54.42)</f>
        <v/>
      </c>
      <c r="E20" s="5">
        <f>IFERROR(__xludf.DUMMYFUNCTION("INDEX(GOOGLEFINANCE(""AAPL"", ""price""))"),339.75)</f>
        <v/>
      </c>
      <c r="F20" s="6">
        <f>C20/D20*E20</f>
        <v/>
      </c>
      <c r="G20" s="5">
        <f>F20-C20</f>
        <v/>
      </c>
      <c r="H20" s="7">
        <f>(F20/C20)-1</f>
        <v/>
      </c>
    </row>
    <row r="21" ht="20" customHeight="1">
      <c r="A21" s="3" t="inlineStr">
        <is>
          <t>iPhone XR</t>
        </is>
      </c>
      <c r="B21" s="4" t="n">
        <v>43399</v>
      </c>
      <c r="C21" s="5" t="n">
        <v>749</v>
      </c>
      <c r="D21" s="5">
        <f>IFERROR(__xludf.DUMMYFUNCTION("INDEX(GOOGLEFINANCE(""AAPL"", ""price"", B21), 2, 2)"),54.08)</f>
        <v/>
      </c>
      <c r="E21" s="5">
        <f>IFERROR(__xludf.DUMMYFUNCTION("INDEX(GOOGLEFINANCE(""AAPL"", ""price""))"),339.75)</f>
        <v/>
      </c>
      <c r="F21" s="6">
        <f>C21/D21*E21</f>
        <v/>
      </c>
      <c r="G21" s="5">
        <f>F21-C21</f>
        <v/>
      </c>
      <c r="H21" s="7">
        <f>(F21/C21)-1</f>
        <v/>
      </c>
    </row>
    <row r="22" ht="20" customHeight="1">
      <c r="A22" s="3" t="inlineStr">
        <is>
          <t>iPhone 11</t>
        </is>
      </c>
      <c r="B22" s="4" t="n">
        <v>43728</v>
      </c>
      <c r="C22" s="5" t="n">
        <v>699</v>
      </c>
      <c r="D22" s="5">
        <f>IFERROR(__xludf.DUMMYFUNCTION("INDEX(GOOGLEFINANCE(""AAPL"", ""price"", B22), 2, 2)"),54.43)</f>
        <v/>
      </c>
      <c r="E22" s="5">
        <f>IFERROR(__xludf.DUMMYFUNCTION("INDEX(GOOGLEFINANCE(""AAPL"", ""price""))"),339.75)</f>
        <v/>
      </c>
      <c r="F22" s="6">
        <f>C22/D22*E22</f>
        <v/>
      </c>
      <c r="G22" s="5">
        <f>F22-C22</f>
        <v/>
      </c>
      <c r="H22" s="7">
        <f>(F22/C22)-1</f>
        <v/>
      </c>
    </row>
    <row r="23" ht="20" customHeight="1">
      <c r="A23" s="3" t="inlineStr">
        <is>
          <t>iPhone 11 Pro</t>
        </is>
      </c>
      <c r="B23" s="4" t="n">
        <v>43728</v>
      </c>
      <c r="C23" s="5" t="n">
        <v>999</v>
      </c>
      <c r="D23" s="5">
        <f>IFERROR(__xludf.DUMMYFUNCTION("INDEX(GOOGLEFINANCE(""AAPL"", ""price"", B23), 2, 2)"),54.43)</f>
        <v/>
      </c>
      <c r="E23" s="5">
        <f>IFERROR(__xludf.DUMMYFUNCTION("INDEX(GOOGLEFINANCE(""AAPL"", ""price""))"),339.75)</f>
        <v/>
      </c>
      <c r="F23" s="6">
        <f>C23/D23*E23</f>
        <v/>
      </c>
      <c r="G23" s="5">
        <f>F23-C23</f>
        <v/>
      </c>
      <c r="H23" s="7">
        <f>(F23/C23)-1</f>
        <v/>
      </c>
    </row>
    <row r="24" ht="20" customHeight="1">
      <c r="A24" s="3" t="inlineStr">
        <is>
          <t>iPhone 11 Pro Max</t>
        </is>
      </c>
      <c r="B24" s="4" t="n">
        <v>43728</v>
      </c>
      <c r="C24" s="5" t="n">
        <v>1099</v>
      </c>
      <c r="D24" s="5">
        <f>IFERROR(__xludf.DUMMYFUNCTION("INDEX(GOOGLEFINANCE(""AAPL"", ""price"", B24), 2, 2)"),54.43)</f>
        <v/>
      </c>
      <c r="E24" s="5">
        <f>IFERROR(__xludf.DUMMYFUNCTION("INDEX(GOOGLEFINANCE(""AAPL"", ""price""))"),339.75)</f>
        <v/>
      </c>
      <c r="F24" s="6">
        <f>C24/D24*E24</f>
        <v/>
      </c>
      <c r="G24" s="5">
        <f>F24-C24</f>
        <v/>
      </c>
      <c r="H24" s="7">
        <f>(F24/C24)-1</f>
        <v/>
      </c>
    </row>
    <row r="25" ht="20" customHeight="1">
      <c r="A25" s="3" t="inlineStr">
        <is>
          <t>iPhone SE (2nd gen)</t>
        </is>
      </c>
      <c r="B25" s="4" t="n">
        <v>43945</v>
      </c>
      <c r="C25" s="5" t="n">
        <v>399</v>
      </c>
      <c r="D25" s="5">
        <f>IFERROR(__xludf.DUMMYFUNCTION("INDEX(GOOGLEFINANCE(""AAPL"", ""price"", B25), 2, 2)"),70.74)</f>
        <v/>
      </c>
      <c r="E25" s="5">
        <f>IFERROR(__xludf.DUMMYFUNCTION("INDEX(GOOGLEFINANCE(""AAPL"", ""price""))"),339.75)</f>
        <v/>
      </c>
      <c r="F25" s="6">
        <f>C25/D25*E25</f>
        <v/>
      </c>
      <c r="G25" s="5">
        <f>F25-C25</f>
        <v/>
      </c>
      <c r="H25" s="7">
        <f>(F25/C25)-1</f>
        <v/>
      </c>
    </row>
    <row r="26" ht="20" customHeight="1">
      <c r="A26" s="3" t="inlineStr">
        <is>
          <t>iPhone 12</t>
        </is>
      </c>
      <c r="B26" s="4" t="n">
        <v>44127</v>
      </c>
      <c r="C26" s="5" t="n">
        <v>799</v>
      </c>
      <c r="D26" s="5">
        <f>IFERROR(__xludf.DUMMYFUNCTION("INDEX(GOOGLEFINANCE(""AAPL"", ""price"", B26), 2, 2)"),115.04)</f>
        <v/>
      </c>
      <c r="E26" s="5">
        <f>IFERROR(__xludf.DUMMYFUNCTION("INDEX(GOOGLEFINANCE(""AAPL"", ""price""))"),339.75)</f>
        <v/>
      </c>
      <c r="F26" s="6">
        <f>C26/D26*E26</f>
        <v/>
      </c>
      <c r="G26" s="5">
        <f>F26-C26</f>
        <v/>
      </c>
      <c r="H26" s="7">
        <f>(F26/C26)-1</f>
        <v/>
      </c>
    </row>
    <row r="27" ht="20" customHeight="1">
      <c r="A27" s="3" t="inlineStr">
        <is>
          <t>iPhone 12 Pro</t>
        </is>
      </c>
      <c r="B27" s="4" t="n">
        <v>44127</v>
      </c>
      <c r="C27" s="5" t="n">
        <v>999</v>
      </c>
      <c r="D27" s="5">
        <f>IFERROR(__xludf.DUMMYFUNCTION("INDEX(GOOGLEFINANCE(""AAPL"", ""price"", B27), 2, 2)"),115.04)</f>
        <v/>
      </c>
      <c r="E27" s="5">
        <f>IFERROR(__xludf.DUMMYFUNCTION("INDEX(GOOGLEFINANCE(""AAPL"", ""price""))"),339.75)</f>
        <v/>
      </c>
      <c r="F27" s="6">
        <f>C27/D27*E27</f>
        <v/>
      </c>
      <c r="G27" s="5">
        <f>F27-C27</f>
        <v/>
      </c>
      <c r="H27" s="7">
        <f>(F27/C27)-1</f>
        <v/>
      </c>
    </row>
    <row r="28" ht="20" customHeight="1">
      <c r="A28" s="3" t="inlineStr">
        <is>
          <t>iPhone 12 mini</t>
        </is>
      </c>
      <c r="B28" s="4" t="n">
        <v>44148</v>
      </c>
      <c r="C28" s="5" t="n">
        <v>699</v>
      </c>
      <c r="D28" s="5">
        <f>IFERROR(__xludf.DUMMYFUNCTION("INDEX(GOOGLEFINANCE(""AAPL"", ""price"", B28), 2, 2)"),119.26)</f>
        <v/>
      </c>
      <c r="E28" s="5">
        <f>IFERROR(__xludf.DUMMYFUNCTION("INDEX(GOOGLEFINANCE(""AAPL"", ""price""))"),339.75)</f>
        <v/>
      </c>
      <c r="F28" s="6">
        <f>C28/D28*E28</f>
        <v/>
      </c>
      <c r="G28" s="5">
        <f>F28-C28</f>
        <v/>
      </c>
      <c r="H28" s="7">
        <f>(F28/C28)-1</f>
        <v/>
      </c>
    </row>
    <row r="29" ht="20" customHeight="1">
      <c r="A29" s="3" t="inlineStr">
        <is>
          <t>iPhone 12 Pro Max</t>
        </is>
      </c>
      <c r="B29" s="4" t="n">
        <v>44148</v>
      </c>
      <c r="C29" s="5" t="n">
        <v>1099</v>
      </c>
      <c r="D29" s="5">
        <f>IFERROR(__xludf.DUMMYFUNCTION("INDEX(GOOGLEFINANCE(""AAPL"", ""price"", B29), 2, 2)"),119.26)</f>
        <v/>
      </c>
      <c r="E29" s="5">
        <f>IFERROR(__xludf.DUMMYFUNCTION("INDEX(GOOGLEFINANCE(""AAPL"", ""price""))"),339.75)</f>
        <v/>
      </c>
      <c r="F29" s="6">
        <f>C29/D29*E29</f>
        <v/>
      </c>
      <c r="G29" s="5">
        <f>F29-C29</f>
        <v/>
      </c>
      <c r="H29" s="7">
        <f>(F29/C29)-1</f>
        <v/>
      </c>
    </row>
    <row r="30" ht="20" customHeight="1">
      <c r="A30" s="3" t="inlineStr">
        <is>
          <t>iPhone 13</t>
        </is>
      </c>
      <c r="B30" s="4" t="n">
        <v>44463</v>
      </c>
      <c r="C30" s="5" t="n">
        <v>799</v>
      </c>
      <c r="D30" s="5">
        <f>IFERROR(__xludf.DUMMYFUNCTION("INDEX(GOOGLEFINANCE(""AAPL"", ""price"", B30), 2, 2)"),146.92)</f>
        <v/>
      </c>
      <c r="E30" s="5">
        <f>IFERROR(__xludf.DUMMYFUNCTION("INDEX(GOOGLEFINANCE(""AAPL"", ""price""))"),339.75)</f>
        <v/>
      </c>
      <c r="F30" s="6">
        <f>C30/D30*E30</f>
        <v/>
      </c>
      <c r="G30" s="5">
        <f>F30-C30</f>
        <v/>
      </c>
      <c r="H30" s="7">
        <f>(F30/C30)-1</f>
        <v/>
      </c>
    </row>
    <row r="31" ht="20" customHeight="1">
      <c r="A31" s="3" t="inlineStr">
        <is>
          <t>iPhone 13 mini</t>
        </is>
      </c>
      <c r="B31" s="4" t="n">
        <v>44463</v>
      </c>
      <c r="C31" s="5" t="n">
        <v>699</v>
      </c>
      <c r="D31" s="5">
        <f>IFERROR(__xludf.DUMMYFUNCTION("INDEX(GOOGLEFINANCE(""AAPL"", ""price"", B31), 2, 2)"),146.92)</f>
        <v/>
      </c>
      <c r="E31" s="5">
        <f>IFERROR(__xludf.DUMMYFUNCTION("INDEX(GOOGLEFINANCE(""AAPL"", ""price""))"),339.75)</f>
        <v/>
      </c>
      <c r="F31" s="6">
        <f>C31/D31*E31</f>
        <v/>
      </c>
      <c r="G31" s="5">
        <f>F31-C31</f>
        <v/>
      </c>
      <c r="H31" s="7">
        <f>(F31/C31)-1</f>
        <v/>
      </c>
    </row>
    <row r="32" ht="20" customHeight="1">
      <c r="A32" s="3" t="inlineStr">
        <is>
          <t>iPhone 13 Pro</t>
        </is>
      </c>
      <c r="B32" s="4" t="n">
        <v>44463</v>
      </c>
      <c r="C32" s="5" t="n">
        <v>999</v>
      </c>
      <c r="D32" s="5">
        <f>IFERROR(__xludf.DUMMYFUNCTION("INDEX(GOOGLEFINANCE(""AAPL"", ""price"", B32), 2, 2)"),146.92)</f>
        <v/>
      </c>
      <c r="E32" s="5">
        <f>IFERROR(__xludf.DUMMYFUNCTION("INDEX(GOOGLEFINANCE(""AAPL"", ""price""))"),339.75)</f>
        <v/>
      </c>
      <c r="F32" s="6">
        <f>C32/D32*E32</f>
        <v/>
      </c>
      <c r="G32" s="5">
        <f>F32-C32</f>
        <v/>
      </c>
      <c r="H32" s="7">
        <f>(F32/C32)-1</f>
        <v/>
      </c>
    </row>
    <row r="33" ht="20" customHeight="1">
      <c r="A33" s="3" t="inlineStr">
        <is>
          <t>iPhone 13 Pro Max</t>
        </is>
      </c>
      <c r="B33" s="4" t="n">
        <v>44463</v>
      </c>
      <c r="C33" s="5" t="n">
        <v>1099</v>
      </c>
      <c r="D33" s="5">
        <f>IFERROR(__xludf.DUMMYFUNCTION("INDEX(GOOGLEFINANCE(""AAPL"", ""price"", B33), 2, 2)"),146.92)</f>
        <v/>
      </c>
      <c r="E33" s="5">
        <f>IFERROR(__xludf.DUMMYFUNCTION("INDEX(GOOGLEFINANCE(""AAPL"", ""price""))"),339.75)</f>
        <v/>
      </c>
      <c r="F33" s="6">
        <f>C33/D33*E33</f>
        <v/>
      </c>
      <c r="G33" s="5">
        <f>F33-C33</f>
        <v/>
      </c>
      <c r="H33" s="7">
        <f>(F33/C33)-1</f>
        <v/>
      </c>
    </row>
    <row r="34" ht="20" customHeight="1">
      <c r="A34" s="3" t="inlineStr">
        <is>
          <t>iPhone SE (3rd gen)</t>
        </is>
      </c>
      <c r="B34" s="4" t="n">
        <v>44638</v>
      </c>
      <c r="C34" s="5" t="n">
        <v>429</v>
      </c>
      <c r="D34" s="5">
        <f>IFERROR(__xludf.DUMMYFUNCTION("INDEX(GOOGLEFINANCE(""AAPL"", ""price"", B34), 2, 2)"),163.98)</f>
        <v/>
      </c>
      <c r="E34" s="5">
        <f>IFERROR(__xludf.DUMMYFUNCTION("INDEX(GOOGLEFINANCE(""AAPL"", ""price""))"),339.75)</f>
        <v/>
      </c>
      <c r="F34" s="6">
        <f>C34/D34*E34</f>
        <v/>
      </c>
      <c r="G34" s="5">
        <f>F34-C34</f>
        <v/>
      </c>
      <c r="H34" s="7">
        <f>(F34/C34)-1</f>
        <v/>
      </c>
    </row>
    <row r="35" ht="20" customHeight="1">
      <c r="A35" s="3" t="inlineStr">
        <is>
          <t>iPhone 14</t>
        </is>
      </c>
      <c r="B35" s="4" t="n">
        <v>44820</v>
      </c>
      <c r="C35" s="5" t="n">
        <v>799</v>
      </c>
      <c r="D35" s="5">
        <f>IFERROR(__xludf.DUMMYFUNCTION("INDEX(GOOGLEFINANCE(""AAPL"", ""price"", B35), 2, 2)"),150.7)</f>
        <v/>
      </c>
      <c r="E35" s="5">
        <f>IFERROR(__xludf.DUMMYFUNCTION("INDEX(GOOGLEFINANCE(""AAPL"", ""price""))"),339.75)</f>
        <v/>
      </c>
      <c r="F35" s="6">
        <f>C35/D35*E35</f>
        <v/>
      </c>
      <c r="G35" s="5">
        <f>F35-C35</f>
        <v/>
      </c>
      <c r="H35" s="7">
        <f>(F35/C35)-1</f>
        <v/>
      </c>
    </row>
    <row r="36" ht="20" customHeight="1">
      <c r="A36" s="3" t="inlineStr">
        <is>
          <t>iPhone 14 Pro</t>
        </is>
      </c>
      <c r="B36" s="4" t="n">
        <v>44820</v>
      </c>
      <c r="C36" s="5" t="n">
        <v>999</v>
      </c>
      <c r="D36" s="5">
        <f>IFERROR(__xludf.DUMMYFUNCTION("INDEX(GOOGLEFINANCE(""AAPL"", ""price"", B36), 2, 2)"),150.7)</f>
        <v/>
      </c>
      <c r="E36" s="5">
        <f>IFERROR(__xludf.DUMMYFUNCTION("INDEX(GOOGLEFINANCE(""AAPL"", ""price""))"),339.75)</f>
        <v/>
      </c>
      <c r="F36" s="6">
        <f>C36/D36*E36</f>
        <v/>
      </c>
      <c r="G36" s="5">
        <f>F36-C36</f>
        <v/>
      </c>
      <c r="H36" s="7">
        <f>(F36/C36)-1</f>
        <v/>
      </c>
    </row>
    <row r="37" ht="20" customHeight="1">
      <c r="A37" s="3" t="inlineStr">
        <is>
          <t>iPhone 14 Pro Max</t>
        </is>
      </c>
      <c r="B37" s="4" t="n">
        <v>44820</v>
      </c>
      <c r="C37" s="5" t="n">
        <v>1099</v>
      </c>
      <c r="D37" s="5">
        <f>IFERROR(__xludf.DUMMYFUNCTION("INDEX(GOOGLEFINANCE(""AAPL"", ""price"", B37), 2, 2)"),150.7)</f>
        <v/>
      </c>
      <c r="E37" s="5">
        <f>IFERROR(__xludf.DUMMYFUNCTION("INDEX(GOOGLEFINANCE(""AAPL"", ""price""))"),339.75)</f>
        <v/>
      </c>
      <c r="F37" s="6">
        <f>C37/D37*E37</f>
        <v/>
      </c>
      <c r="G37" s="5">
        <f>F37-C37</f>
        <v/>
      </c>
      <c r="H37" s="7">
        <f>(F37/C37)-1</f>
        <v/>
      </c>
    </row>
    <row r="38" ht="20" customHeight="1">
      <c r="A38" s="3" t="inlineStr">
        <is>
          <t>iPhone 14 Plus</t>
        </is>
      </c>
      <c r="B38" s="4" t="n">
        <v>44841</v>
      </c>
      <c r="C38" s="5" t="n">
        <v>899</v>
      </c>
      <c r="D38" s="5">
        <f>IFERROR(__xludf.DUMMYFUNCTION("INDEX(GOOGLEFINANCE(""AAPL"", ""price"", B38), 2, 2)"),140.09)</f>
        <v/>
      </c>
      <c r="E38" s="5">
        <f>IFERROR(__xludf.DUMMYFUNCTION("INDEX(GOOGLEFINANCE(""AAPL"", ""price""))"),339.75)</f>
        <v/>
      </c>
      <c r="F38" s="6">
        <f>C38/D38*E38</f>
        <v/>
      </c>
      <c r="G38" s="5">
        <f>F38-C38</f>
        <v/>
      </c>
      <c r="H38" s="7">
        <f>(F38/C38)-1</f>
        <v/>
      </c>
    </row>
    <row r="39" ht="20" customHeight="1">
      <c r="A39" s="3" t="inlineStr">
        <is>
          <t>iPhone 15</t>
        </is>
      </c>
      <c r="B39" s="4" t="n">
        <v>45191</v>
      </c>
      <c r="C39" s="5" t="n">
        <v>799</v>
      </c>
      <c r="D39" s="5">
        <f>IFERROR(__xludf.DUMMYFUNCTION("INDEX(GOOGLEFINANCE(""AAPL"", ""price"", B39), 2, 2)"),174.79)</f>
        <v/>
      </c>
      <c r="E39" s="5">
        <f>IFERROR(__xludf.DUMMYFUNCTION("INDEX(GOOGLEFINANCE(""AAPL"", ""price""))"),339.75)</f>
        <v/>
      </c>
      <c r="F39" s="6">
        <f>C39/D39*E39</f>
        <v/>
      </c>
      <c r="G39" s="5">
        <f>F39-C39</f>
        <v/>
      </c>
      <c r="H39" s="7">
        <f>(F39/C39)-1</f>
        <v/>
      </c>
    </row>
    <row r="40" ht="20" customHeight="1">
      <c r="A40" s="3" t="inlineStr">
        <is>
          <t>iPhone 15 Plus</t>
        </is>
      </c>
      <c r="B40" s="4" t="n">
        <v>45191</v>
      </c>
      <c r="C40" s="5" t="n">
        <v>899</v>
      </c>
      <c r="D40" s="5">
        <f>IFERROR(__xludf.DUMMYFUNCTION("INDEX(GOOGLEFINANCE(""AAPL"", ""price"", B40), 2, 2)"),174.79)</f>
        <v/>
      </c>
      <c r="E40" s="5">
        <f>IFERROR(__xludf.DUMMYFUNCTION("INDEX(GOOGLEFINANCE(""AAPL"", ""price""))"),339.75)</f>
        <v/>
      </c>
      <c r="F40" s="6">
        <f>C40/D40*E40</f>
        <v/>
      </c>
      <c r="G40" s="5">
        <f>F40-C40</f>
        <v/>
      </c>
      <c r="H40" s="7">
        <f>(F40/C40)-1</f>
        <v/>
      </c>
    </row>
    <row r="41" ht="20" customHeight="1">
      <c r="A41" s="3" t="inlineStr">
        <is>
          <t>iPhone 15 Pro</t>
        </is>
      </c>
      <c r="B41" s="4" t="n">
        <v>45191</v>
      </c>
      <c r="C41" s="5" t="n">
        <v>999</v>
      </c>
      <c r="D41" s="5">
        <f>IFERROR(__xludf.DUMMYFUNCTION("INDEX(GOOGLEFINANCE(""AAPL"", ""price"", B41), 2, 2)"),174.79)</f>
        <v/>
      </c>
      <c r="E41" s="5">
        <f>IFERROR(__xludf.DUMMYFUNCTION("INDEX(GOOGLEFINANCE(""AAPL"", ""price""))"),339.75)</f>
        <v/>
      </c>
      <c r="F41" s="6">
        <f>C41/D41*E41</f>
        <v/>
      </c>
      <c r="G41" s="5">
        <f>F41-C41</f>
        <v/>
      </c>
      <c r="H41" s="7">
        <f>(F41/C41)-1</f>
        <v/>
      </c>
    </row>
    <row r="42" ht="20" customHeight="1">
      <c r="A42" s="3" t="inlineStr">
        <is>
          <t>iPhone 15 Pro Max</t>
        </is>
      </c>
      <c r="B42" s="4" t="n">
        <v>45191</v>
      </c>
      <c r="C42" s="5" t="n">
        <v>1199</v>
      </c>
      <c r="D42" s="5">
        <f>IFERROR(__xludf.DUMMYFUNCTION("INDEX(GOOGLEFINANCE(""AAPL"", ""price"", B42), 2, 2)"),174.79)</f>
        <v/>
      </c>
      <c r="E42" s="5">
        <f>IFERROR(__xludf.DUMMYFUNCTION("INDEX(GOOGLEFINANCE(""AAPL"", ""price""))"),339.75)</f>
        <v/>
      </c>
      <c r="F42" s="6">
        <f>C42/D42*E42</f>
        <v/>
      </c>
      <c r="G42" s="5">
        <f>F42-C42</f>
        <v/>
      </c>
      <c r="H42" s="7">
        <f>(F42/C42)-1</f>
        <v/>
      </c>
    </row>
    <row r="43" ht="20" customHeight="1">
      <c r="A43" s="3" t="inlineStr">
        <is>
          <t>iPhone 16</t>
        </is>
      </c>
      <c r="B43" s="4" t="n">
        <v>45555</v>
      </c>
      <c r="C43" s="5" t="n">
        <v>799</v>
      </c>
      <c r="D43" s="5">
        <f>IFERROR(__xludf.DUMMYFUNCTION("INDEX(GOOGLEFINANCE(""AAPL"", ""price"", B43), 2, 2)"),228.2)</f>
        <v/>
      </c>
      <c r="E43" s="5">
        <f>IFERROR(__xludf.DUMMYFUNCTION("INDEX(GOOGLEFINANCE(""AAPL"", ""price""))"),339.75)</f>
        <v/>
      </c>
      <c r="F43" s="6">
        <f>C43/D43*E43</f>
        <v/>
      </c>
      <c r="G43" s="5">
        <f>F43-C43</f>
        <v/>
      </c>
      <c r="H43" s="7">
        <f>(F43/C43)-1</f>
        <v/>
      </c>
    </row>
    <row r="44" ht="20" customHeight="1">
      <c r="A44" s="3" t="inlineStr">
        <is>
          <t>iPhone 16 Plus</t>
        </is>
      </c>
      <c r="B44" s="4" t="n">
        <v>45555</v>
      </c>
      <c r="C44" s="5" t="n">
        <v>899</v>
      </c>
      <c r="D44" s="5">
        <f>IFERROR(__xludf.DUMMYFUNCTION("INDEX(GOOGLEFINANCE(""AAPL"", ""price"", B44), 2, 2)"),228.2)</f>
        <v/>
      </c>
      <c r="E44" s="5">
        <f>IFERROR(__xludf.DUMMYFUNCTION("INDEX(GOOGLEFINANCE(""AAPL"", ""price""))"),339.75)</f>
        <v/>
      </c>
      <c r="F44" s="6">
        <f>C44/D44*E44</f>
        <v/>
      </c>
      <c r="G44" s="5">
        <f>F44-C44</f>
        <v/>
      </c>
      <c r="H44" s="7">
        <f>(F44/C44)-1</f>
        <v/>
      </c>
    </row>
    <row r="45" ht="20" customHeight="1">
      <c r="A45" s="3" t="inlineStr">
        <is>
          <t>iPhone 16 Pro</t>
        </is>
      </c>
      <c r="B45" s="4" t="n">
        <v>45555</v>
      </c>
      <c r="C45" s="5" t="n">
        <v>999</v>
      </c>
      <c r="D45" s="5">
        <f>IFERROR(__xludf.DUMMYFUNCTION("INDEX(GOOGLEFINANCE(""AAPL"", ""price"", B45), 2, 2)"),228.2)</f>
        <v/>
      </c>
      <c r="E45" s="5">
        <f>IFERROR(__xludf.DUMMYFUNCTION("INDEX(GOOGLEFINANCE(""AAPL"", ""price""))"),339.75)</f>
        <v/>
      </c>
      <c r="F45" s="6">
        <f>C45/D45*E45</f>
        <v/>
      </c>
      <c r="G45" s="5">
        <f>F45-C45</f>
        <v/>
      </c>
      <c r="H45" s="7">
        <f>(F45/C45)-1</f>
        <v/>
      </c>
    </row>
    <row r="46" ht="20" customHeight="1">
      <c r="A46" s="3" t="inlineStr">
        <is>
          <t>iPhone 16 Pro Max</t>
        </is>
      </c>
      <c r="B46" s="4" t="n">
        <v>45555</v>
      </c>
      <c r="C46" s="5" t="n">
        <v>1199</v>
      </c>
      <c r="D46" s="5">
        <f>IFERROR(__xludf.DUMMYFUNCTION("INDEX(GOOGLEFINANCE(""AAPL"", ""price"", B46), 2, 2)"),228.2)</f>
        <v/>
      </c>
      <c r="E46" s="5">
        <f>IFERROR(__xludf.DUMMYFUNCTION("INDEX(GOOGLEFINANCE(""AAPL"", ""price""))"),339.75)</f>
        <v/>
      </c>
      <c r="F46" s="6">
        <f>C46/D46*E46</f>
        <v/>
      </c>
      <c r="G46" s="5">
        <f>F46-C46</f>
        <v/>
      </c>
      <c r="H46" s="7">
        <f>(F46/C46)-1</f>
        <v/>
      </c>
    </row>
    <row r="47" ht="20" customHeight="1">
      <c r="A47" s="3" t="inlineStr">
        <is>
          <t>iPhone 16e</t>
        </is>
      </c>
      <c r="B47" s="4" t="n">
        <v>45716</v>
      </c>
      <c r="C47" s="5" t="n">
        <v>599</v>
      </c>
      <c r="D47" s="5">
        <f>IFERROR(__xludf.DUMMYFUNCTION("INDEX(GOOGLEFINANCE(""AAPL"", ""price"", B47), 2, 2)"),241.84)</f>
        <v/>
      </c>
      <c r="E47" s="5">
        <f>IFERROR(__xludf.DUMMYFUNCTION("INDEX(GOOGLEFINANCE(""AAPL"", ""price""))"),339.75)</f>
        <v/>
      </c>
      <c r="F47" s="6">
        <f>C47/D47*E47</f>
        <v/>
      </c>
      <c r="G47" s="5">
        <f>F47-C47</f>
        <v/>
      </c>
      <c r="H47" s="7">
        <f>(F47/C47)-1</f>
        <v/>
      </c>
    </row>
    <row r="48" ht="20" customHeight="1">
      <c r="A48" s="3" t="inlineStr">
        <is>
          <t>iPhone 17</t>
        </is>
      </c>
      <c r="B48" s="4" t="n">
        <v>45919</v>
      </c>
      <c r="C48" s="5" t="n">
        <v>799</v>
      </c>
      <c r="D48" s="5">
        <f>IFERROR(__xludf.DUMMYFUNCTION("INDEX(GOOGLEFINANCE(""AAPL"", ""price"", B48), 2, 2)"),245.5)</f>
        <v/>
      </c>
      <c r="E48" s="5">
        <f>IFERROR(__xludf.DUMMYFUNCTION("INDEX(GOOGLEFINANCE(""AAPL"", ""price""))"),339.75)</f>
        <v/>
      </c>
      <c r="F48" s="6">
        <f>C48/D48*E48</f>
        <v/>
      </c>
      <c r="G48" s="5">
        <f>F48-C48</f>
        <v/>
      </c>
      <c r="H48" s="7">
        <f>(F48/C48)-1</f>
        <v/>
      </c>
    </row>
    <row r="49" ht="20" customHeight="1">
      <c r="A49" s="3" t="inlineStr">
        <is>
          <t>iPhone Air</t>
        </is>
      </c>
      <c r="B49" s="4" t="n">
        <v>45919</v>
      </c>
      <c r="C49" s="5" t="n">
        <v>999</v>
      </c>
      <c r="D49" s="5">
        <f>IFERROR(__xludf.DUMMYFUNCTION("INDEX(GOOGLEFINANCE(""AAPL"", ""price"", B49), 2, 2)"),245.5)</f>
        <v/>
      </c>
      <c r="E49" s="5">
        <f>IFERROR(__xludf.DUMMYFUNCTION("INDEX(GOOGLEFINANCE(""AAPL"", ""price""))"),339.75)</f>
        <v/>
      </c>
      <c r="F49" s="6">
        <f>C49/D49*E49</f>
        <v/>
      </c>
      <c r="G49" s="5">
        <f>F49-C49</f>
        <v/>
      </c>
      <c r="H49" s="7">
        <f>(F49/C49)-1</f>
        <v/>
      </c>
    </row>
    <row r="50" ht="20" customHeight="1">
      <c r="A50" s="3" t="inlineStr">
        <is>
          <t>iPhone 17 Pro</t>
        </is>
      </c>
      <c r="B50" s="4" t="n">
        <v>45919</v>
      </c>
      <c r="C50" s="5" t="n">
        <v>1099</v>
      </c>
      <c r="D50" s="5">
        <f>IFERROR(__xludf.DUMMYFUNCTION("INDEX(GOOGLEFINANCE(""AAPL"", ""price"", B50), 2, 2)"),245.5)</f>
        <v/>
      </c>
      <c r="E50" s="5">
        <f>IFERROR(__xludf.DUMMYFUNCTION("INDEX(GOOGLEFINANCE(""AAPL"", ""price""))"),339.75)</f>
        <v/>
      </c>
      <c r="F50" s="6">
        <f>C50/D50*E50</f>
        <v/>
      </c>
      <c r="G50" s="5">
        <f>F50-C50</f>
        <v/>
      </c>
      <c r="H50" s="7">
        <f>(F50/C50)-1</f>
        <v/>
      </c>
    </row>
    <row r="51" ht="20" customHeight="1">
      <c r="A51" s="3" t="inlineStr">
        <is>
          <t>iPhone 17 Pro Max</t>
        </is>
      </c>
      <c r="B51" s="4" t="n">
        <v>45919</v>
      </c>
      <c r="C51" s="5" t="n">
        <v>1199</v>
      </c>
      <c r="D51" s="5">
        <f>IFERROR(__xludf.DUMMYFUNCTION("INDEX(GOOGLEFINANCE(""AAPL"", ""price"", B51), 2, 2)"),245.5)</f>
        <v/>
      </c>
      <c r="E51" s="5">
        <f>IFERROR(__xludf.DUMMYFUNCTION("INDEX(GOOGLEFINANCE(""AAPL"", ""price""))"),339.75)</f>
        <v/>
      </c>
      <c r="F51" s="6">
        <f>C51/D51*E51</f>
        <v/>
      </c>
      <c r="G51" s="5">
        <f>F51-C51</f>
        <v/>
      </c>
      <c r="H51" s="7">
        <f>(F51/C51)-1</f>
        <v/>
      </c>
    </row>
    <row r="52" ht="20" customHeight="1">
      <c r="A52" s="3" t="inlineStr">
        <is>
          <t>iPhone 17e</t>
        </is>
      </c>
      <c r="B52" s="4" t="n">
        <v>46092</v>
      </c>
      <c r="C52" s="5" t="n">
        <v>599</v>
      </c>
      <c r="D52" s="5">
        <f>IFERROR(__xludf.DUMMYFUNCTION("INDEX(GOOGLEFINANCE(""AAPL"", ""price"", B52), 2, 2)"),260.81)</f>
        <v/>
      </c>
      <c r="E52" s="5">
        <f>IFERROR(__xludf.DUMMYFUNCTION("INDEX(GOOGLEFINANCE(""AAPL"", ""price""))"),339.75)</f>
        <v/>
      </c>
      <c r="F52" s="6">
        <f>C52/D52*E52</f>
        <v/>
      </c>
      <c r="G52" s="5">
        <f>F52-C52</f>
        <v/>
      </c>
      <c r="H52" s="7">
        <f>(F52/C52)-1</f>
        <v/>
      </c>
    </row>
    <row r="53" ht="20" customHeight="1">
      <c r="A53" s="3" t="inlineStr">
        <is>
          <t>iPhone 18 Pro</t>
        </is>
      </c>
      <c r="B53" s="4" t="n">
        <v>46283</v>
      </c>
      <c r="C53" s="5" t="n">
        <v>1199</v>
      </c>
      <c r="D53" s="5">
        <f>IFERROR(__xludf.DUMMYFUNCTION("INDEX(GOOGLEFINANCE(""AAPL"", ""price"", B53), 2, 2)"),336.13)</f>
        <v/>
      </c>
      <c r="E53" s="5">
        <f>IFERROR(__xludf.DUMMYFUNCTION("INDEX(GOOGLEFINANCE(""AAPL"", ""price""))"),339.75)</f>
        <v/>
      </c>
      <c r="F53" s="6">
        <f>C53/D53*E53</f>
        <v/>
      </c>
      <c r="G53" s="5">
        <f>F53-C53</f>
        <v/>
      </c>
      <c r="H53" s="7">
        <f>(F53/C53)-1</f>
        <v/>
      </c>
    </row>
    <row r="54" ht="20" customHeight="1">
      <c r="A54" s="3" t="inlineStr">
        <is>
          <t>iPhone 18 Pro Max</t>
        </is>
      </c>
      <c r="B54" s="4" t="n">
        <v>46283</v>
      </c>
      <c r="C54" s="5" t="n">
        <v>1299</v>
      </c>
      <c r="D54" s="5">
        <f>IFERROR(__xludf.DUMMYFUNCTION("INDEX(GOOGLEFINANCE(""AAPL"", ""price"", B54), 2, 2)"),336.13)</f>
        <v/>
      </c>
      <c r="E54" s="5">
        <f>IFERROR(__xludf.DUMMYFUNCTION("INDEX(GOOGLEFINANCE(""AAPL"", ""price""))"),339.75)</f>
        <v/>
      </c>
      <c r="F54" s="6">
        <f>C54/D54*E54</f>
        <v/>
      </c>
      <c r="G54" s="5">
        <f>F54-C54</f>
        <v/>
      </c>
      <c r="H54" s="7">
        <f>(F54/C54)-1</f>
        <v/>
      </c>
    </row>
    <row r="55" ht="24" customHeight="1">
      <c r="A55" s="8" t="inlineStr">
        <is>
          <t>Total / Portfolio Summary</t>
        </is>
      </c>
      <c r="B55" s="9" t="inlineStr">
        <is>
          <t>Updated: 2026-09-23</t>
        </is>
      </c>
      <c r="C55" s="10">
        <f>SUM(C2:C54)</f>
        <v/>
      </c>
      <c r="D55" s="11" t="inlineStr"/>
      <c r="E55" s="12" t="n">
        <v>339.75</v>
      </c>
      <c r="F55" s="10">
        <f>SUM(F2:F54)</f>
        <v/>
      </c>
      <c r="G55" s="10">
        <f>SUM(G2:G54)</f>
        <v/>
      </c>
      <c r="H55" s="13">
        <f>(F55/C55)-1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2026-09-23T08:09:52Z</dcterms:created>
  <dcterms:modified xsi:type="dcterms:W3CDTF">2026-09-23T08:09:52Z</dcterms:modified>
</cp:coreProperties>
</file>